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tartup Shopping List" sheetId="2" state="visible" r:id="rId4"/>
    <sheet name="Package Pricing" sheetId="3" state="visible" r:id="rId5"/>
    <sheet name="Monthly &amp; Break-ev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<sst xmlns="http://schemas.openxmlformats.org/spreadsheetml/2006/main" count="185" uniqueCount="133">
  <si>
    <t xml:space="preserve">Holy Sheet! Grazing: Cost Model Assumptions</t>
  </si>
  <si>
    <t xml:space="preserve">Blue text on yellow = inputs you can change. Black = formulas. Every other sheet reads from here.</t>
  </si>
  <si>
    <t xml:space="preserve">Assumption</t>
  </si>
  <si>
    <t xml:space="preserve">Value</t>
  </si>
  <si>
    <t xml:space="preserve">Unit</t>
  </si>
  <si>
    <t xml:space="preserve">Source / note</t>
  </si>
  <si>
    <t xml:space="preserve">Food cost (% of retail price)</t>
  </si>
  <si>
    <t xml:space="preserve">%</t>
  </si>
  <si>
    <t xml:space="preserve">From your brand playbook financial blueprint (35%).</t>
  </si>
  <si>
    <t xml:space="preserve">Labour rate</t>
  </si>
  <si>
    <t xml:space="preserve">$/hr</t>
  </si>
  <si>
    <t xml:space="preserve">From your playbook ($35/hr).</t>
  </si>
  <si>
    <t xml:space="preserve">Travel &amp; overhead per event</t>
  </si>
  <si>
    <t xml:space="preserve">$</t>
  </si>
  <si>
    <t xml:space="preserve">From your playbook ($30 flat per event). Raise this for venues off the Peninsula.</t>
  </si>
  <si>
    <t xml:space="preserve">Kraft paper roll: price</t>
  </si>
  <si>
    <t xml:space="preserve">Temu listing, 30 m long heavy brown Kraft roll, AU$18.42 (your screenshot, 20 Sep 2026). Check width and gsm before ordering; playbook recommends 80 gsm or thicker food-grade.</t>
  </si>
  <si>
    <t xml:space="preserve">Kraft paper roll: length</t>
  </si>
  <si>
    <t xml:space="preserve">m</t>
  </si>
  <si>
    <t xml:space="preserve">Temu listing, 30 m roll.</t>
  </si>
  <si>
    <t xml:space="preserve">Kraft paper: cost per metre</t>
  </si>
  <si>
    <t xml:space="preserve">$/m</t>
  </si>
  <si>
    <t xml:space="preserve">Formula.</t>
  </si>
  <si>
    <t xml:space="preserve">Half Sheet: paper length</t>
  </si>
  <si>
    <t xml:space="preserve">60 cm x 100 cm cut, from your menu artwork.</t>
  </si>
  <si>
    <t xml:space="preserve">Full Sheet: paper length</t>
  </si>
  <si>
    <t xml:space="preserve">60 cm x 200 cm cut.</t>
  </si>
  <si>
    <t xml:space="preserve">Whole Damn Roll: paper length</t>
  </si>
  <si>
    <t xml:space="preserve">60 cm x 400 to 500 cm cut. Using the upper figure.</t>
  </si>
  <si>
    <t xml:space="preserve">Half Sheet: labour hours</t>
  </si>
  <si>
    <t xml:space="preserve">hrs</t>
  </si>
  <si>
    <t xml:space="preserve">Playbook: 2 hrs.</t>
  </si>
  <si>
    <t xml:space="preserve">Full Sheet: labour hours</t>
  </si>
  <si>
    <t xml:space="preserve">Playbook: 3 hrs.</t>
  </si>
  <si>
    <t xml:space="preserve">Whole Damn Roll: labour hours</t>
  </si>
  <si>
    <t xml:space="preserve">Playbook: 5 hrs.</t>
  </si>
  <si>
    <t xml:space="preserve">Disposables per guest (cups, sticks, napkins)</t>
  </si>
  <si>
    <t xml:space="preserve">$/guest</t>
  </si>
  <si>
    <t xml:space="preserve">Estimate from Temu prices: 60 mini cups $10.97 (18c each), 159 fruit sticks $5.55 (3.5c each), plus napkins. Verify against your actual order.</t>
  </si>
  <si>
    <t xml:space="preserve">GST registered?</t>
  </si>
  <si>
    <t xml:space="preserve">No</t>
  </si>
  <si>
    <t xml:space="preserve">Yes/No</t>
  </si>
  <si>
    <t xml:space="preserve">Prices below are treated as GST-free while turnover is under the $75k registration threshold. Confirm with your accountant; once registered, either add 10% to prices or absorb it.</t>
  </si>
  <si>
    <t xml:space="preserve">Startup Shopping List</t>
  </si>
  <si>
    <t xml:space="preserve">Temu prices are read from your screenshots (20 Sep 2026) and marked as such. 'Estimate' rows are placeholders for you to replace with real quotes.</t>
  </si>
  <si>
    <t xml:space="preserve">Category</t>
  </si>
  <si>
    <t xml:space="preserve">Item</t>
  </si>
  <si>
    <t xml:space="preserve">Qty</t>
  </si>
  <si>
    <t xml:space="preserve">Unit price (AUD)</t>
  </si>
  <si>
    <t xml:space="preserve">Line total (AUD)</t>
  </si>
  <si>
    <t xml:space="preserve">Source</t>
  </si>
  <si>
    <t xml:space="preserve">Notes</t>
  </si>
  <si>
    <t xml:space="preserve">Paper</t>
  </si>
  <si>
    <t xml:space="preserve">30 m heavy brown Kraft paper roll</t>
  </si>
  <si>
    <t xml:space="preserve">Temu screenshot</t>
  </si>
  <si>
    <t xml:space="preserve">Enough for roughly 30 Half Sheets or 15 Full Sheets per roll. Check width covers 60 cm.</t>
  </si>
  <si>
    <t xml:space="preserve">9.6 m brown Kraft paper roll (backup / samples)</t>
  </si>
  <si>
    <t xml:space="preserve">Handy for sample boxes and test layouts.</t>
  </si>
  <si>
    <t xml:space="preserve">Oilproof food paper, 100 sheets</t>
  </si>
  <si>
    <t xml:space="preserve">Barrier layer under oily items (marinated olives, cured meats) so the Kraft stays clean.</t>
  </si>
  <si>
    <t xml:space="preserve">Brown scalloped rosette / doily set, 50 pcs</t>
  </si>
  <si>
    <t xml:space="preserve">Styling accents under cheeses.</t>
  </si>
  <si>
    <t xml:space="preserve">Serving</t>
  </si>
  <si>
    <t xml:space="preserve">60 pack leak-resistant mini sample cups</t>
  </si>
  <si>
    <t xml:space="preserve">Dips, honey, olives. Roughly 3 per 5 guests.</t>
  </si>
  <si>
    <t xml:space="preserve">159 pcs wooden fruit sticks / picks</t>
  </si>
  <si>
    <t xml:space="preserve">Plastic mini scoops for candy / nuts</t>
  </si>
  <si>
    <t xml:space="preserve">Tongs</t>
  </si>
  <si>
    <t xml:space="preserve">6 pc heavy-duty stainless tongs</t>
  </si>
  <si>
    <t xml:space="preserve">12 pc mini serving tongs set</t>
  </si>
  <si>
    <t xml:space="preserve">5 pc heart-shaped stainless tongs</t>
  </si>
  <si>
    <t xml:space="preserve">4 pc salad clips / kitchen tongs</t>
  </si>
  <si>
    <t xml:space="preserve">3 pc stainless steel cold food tongs</t>
  </si>
  <si>
    <t xml:space="preserve">5 pc gold stainless BBQ / serving tongs</t>
  </si>
  <si>
    <t xml:space="preserve">Gold finish matches the organic-luxury look.</t>
  </si>
  <si>
    <t xml:space="preserve">Golden stainless steel mini tongs</t>
  </si>
  <si>
    <t xml:space="preserve">Branding</t>
  </si>
  <si>
    <t xml:space="preserve">Oversized custom rubber stamp with logo</t>
  </si>
  <si>
    <t xml:space="preserve">Estimate: get a quote</t>
  </si>
  <si>
    <t xml:space="preserve">Playbook action step 3. Large-format custom stamps run roughly $80 to $180 from Australian stamp makers.</t>
  </si>
  <si>
    <t xml:space="preserve">Food-safe ink pad (brown or charcoal)</t>
  </si>
  <si>
    <t xml:space="preserve">Confirm food-safe rating before stamping near food.</t>
  </si>
  <si>
    <t xml:space="preserve">Domain name (1 year)</t>
  </si>
  <si>
    <t xml:space="preserve">Playbook action step 1. .com.au domains are typically $15 to $35 per year.</t>
  </si>
  <si>
    <t xml:space="preserve">Business cards / thank-you cards (250)</t>
  </si>
  <si>
    <t xml:space="preserve">Compliance</t>
  </si>
  <si>
    <t xml:space="preserve">Food safety supervisor certificate</t>
  </si>
  <si>
    <t xml:space="preserve">Required for most Victorian food businesses. Check with Mornington Peninsula Shire for registration under the Food Act.</t>
  </si>
  <si>
    <t xml:space="preserve">Council food business registration (Class 2 or 3)</t>
  </si>
  <si>
    <t xml:space="preserve">Fee varies by council and class. Confirm with the Shire.</t>
  </si>
  <si>
    <t xml:space="preserve">Public liability insurance (annual)</t>
  </si>
  <si>
    <t xml:space="preserve">Venues and planners will ask for a certificate of currency.</t>
  </si>
  <si>
    <t xml:space="preserve">Kit</t>
  </si>
  <si>
    <t xml:space="preserve">Insulated cool bags / eskies</t>
  </si>
  <si>
    <t xml:space="preserve">Cheese and cured meats must travel below 5 degrees C.</t>
  </si>
  <si>
    <t xml:space="preserve">Knives, boards for prep, gloves, cloths</t>
  </si>
  <si>
    <t xml:space="preserve">Prep only; nothing goes on the table but the paper.</t>
  </si>
  <si>
    <t xml:space="preserve">Sample platter boxes for planner outreach (10)</t>
  </si>
  <si>
    <t xml:space="preserve">Playbook pitch email offers a mini sample box to planners.</t>
  </si>
  <si>
    <t xml:space="preserve">Total startup spend</t>
  </si>
  <si>
    <t xml:space="preserve">   of which Temu consumables and tools</t>
  </si>
  <si>
    <t xml:space="preserve">   of which estimates still to confirm</t>
  </si>
  <si>
    <t xml:space="preserve">Package Pricing &amp; Margin</t>
  </si>
  <si>
    <t xml:space="preserve">Retail prices are inputs. Every cost line is a formula driven by the Assumptions sheet.</t>
  </si>
  <si>
    <t xml:space="preserve">The Half Sheet</t>
  </si>
  <si>
    <t xml:space="preserve">The Full Sheet</t>
  </si>
  <si>
    <t xml:space="preserve">The Whole Damn Roll</t>
  </si>
  <si>
    <t xml:space="preserve">Guest capacity</t>
  </si>
  <si>
    <t xml:space="preserve">Retail price (AUD, ex GST)</t>
  </si>
  <si>
    <t xml:space="preserve">Food cost</t>
  </si>
  <si>
    <t xml:space="preserve">Labour hours</t>
  </si>
  <si>
    <t xml:space="preserve">Labour cost</t>
  </si>
  <si>
    <t xml:space="preserve">Kraft paper cost</t>
  </si>
  <si>
    <t xml:space="preserve">Disposables (cups, picks, napkins)</t>
  </si>
  <si>
    <t xml:space="preserve">Travel &amp; overhead</t>
  </si>
  <si>
    <t xml:space="preserve">Total cost</t>
  </si>
  <si>
    <t xml:space="preserve">Net profit</t>
  </si>
  <si>
    <t xml:space="preserve">Net profit margin</t>
  </si>
  <si>
    <t xml:space="preserve">Price per guest</t>
  </si>
  <si>
    <t xml:space="preserve">Profit per labour hour</t>
  </si>
  <si>
    <t xml:space="preserve">Playbook comparison (your original blueprint): Half $257.50 / 46.8%, Full $515.00 / 51.5%, Roll $965.00 / 53.6%. This model is slightly lower because it also charges paper and disposables to each event.</t>
  </si>
  <si>
    <t xml:space="preserve">Monthly Scenario &amp; Startup Break-even</t>
  </si>
  <si>
    <t xml:space="preserve">Change the events-per-month inputs to test scenarios. Profit figures flow from Package Pricing.</t>
  </si>
  <si>
    <t xml:space="preserve">Package</t>
  </si>
  <si>
    <t xml:space="preserve">Events per month</t>
  </si>
  <si>
    <t xml:space="preserve">Revenue</t>
  </si>
  <si>
    <t xml:space="preserve">Monthly total</t>
  </si>
  <si>
    <t xml:space="preserve">Months to recover startup spend</t>
  </si>
  <si>
    <t xml:space="preserve">Events to recover startup spend (at this mix)</t>
  </si>
  <si>
    <t xml:space="preserve">Annual net profit at this mix</t>
  </si>
  <si>
    <t xml:space="preserve">Annual revenue at this mix (GST threshold is $75,000)</t>
  </si>
  <si>
    <t xml:space="preserve">Effective hourly earnings (net profit / labour hours)</t>
  </si>
  <si>
    <t xml:space="preserve">Note: the blended event counts above are a starting scenario, not a forecast. Owner labour is costed at the Assumptions labour rate, so 'net profit' is what remains after paying yourself $35/hr.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</si>
</sst>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.00;&quot;($&quot;#,##0.00\);\-"/>
    <numFmt numFmtId="167" formatCode="0"/>
    <numFmt numFmtId="168" formatCode="\$#,##0;&quot;($&quot;#,##0\);\-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252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E2D4E"/>
        <bgColor rgb="FF2A2521"/>
      </patternFill>
    </fill>
    <fill>
      <patternFill patternType="solid">
        <fgColor rgb="FFFFFF00"/>
        <bgColor rgb="FFFFFF00"/>
      </patternFill>
    </fill>
    <fill>
      <patternFill patternType="solid">
        <fgColor rgb="FFF6F4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B9A3"/>
      </left>
      <right style="thin">
        <color rgb="FFC8B9A3"/>
      </right>
      <top style="thin">
        <color rgb="FFC8B9A3"/>
      </top>
      <bottom style="thin">
        <color rgb="FFC8B9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9A3"/>
      <rgbColor rgb="FF808080"/>
      <rgbColor rgb="FF9999FF"/>
      <rgbColor rgb="FF5E2D4E"/>
      <rgbColor rgb="FFF6F4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5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0.35</v>
      </c>
      <c r="C5" s="4" t="s">
        <v>7</v>
      </c>
      <c r="D5" s="6" t="s">
        <v>8</v>
      </c>
    </row>
    <row r="6" customFormat="false" ht="15" hidden="false" customHeight="false" outlineLevel="0" collapsed="false">
      <c r="A6" s="4" t="s">
        <v>9</v>
      </c>
      <c r="B6" s="7" t="n">
        <v>35</v>
      </c>
      <c r="C6" s="4" t="s">
        <v>10</v>
      </c>
      <c r="D6" s="6" t="s">
        <v>11</v>
      </c>
    </row>
    <row r="7" customFormat="false" ht="15" hidden="false" customHeight="false" outlineLevel="0" collapsed="false">
      <c r="A7" s="4" t="s">
        <v>12</v>
      </c>
      <c r="B7" s="7" t="n">
        <v>30</v>
      </c>
      <c r="C7" s="4" t="s">
        <v>13</v>
      </c>
      <c r="D7" s="6" t="s">
        <v>14</v>
      </c>
    </row>
    <row r="8" customFormat="false" ht="22.35" hidden="false" customHeight="false" outlineLevel="0" collapsed="false">
      <c r="A8" s="4" t="s">
        <v>15</v>
      </c>
      <c r="B8" s="7" t="n">
        <v>18.42</v>
      </c>
      <c r="C8" s="4" t="s">
        <v>13</v>
      </c>
      <c r="D8" s="6" t="s">
        <v>16</v>
      </c>
    </row>
    <row r="9" customFormat="false" ht="15" hidden="false" customHeight="false" outlineLevel="0" collapsed="false">
      <c r="A9" s="4" t="s">
        <v>17</v>
      </c>
      <c r="B9" s="8" t="n">
        <v>30</v>
      </c>
      <c r="C9" s="4" t="s">
        <v>18</v>
      </c>
      <c r="D9" s="6" t="s">
        <v>19</v>
      </c>
    </row>
    <row r="10" customFormat="false" ht="15" hidden="false" customHeight="false" outlineLevel="0" collapsed="false">
      <c r="A10" s="4" t="s">
        <v>20</v>
      </c>
      <c r="B10" s="9" t="n">
        <f aca="false">B8/B9</f>
        <v>0.614</v>
      </c>
      <c r="C10" s="4" t="s">
        <v>21</v>
      </c>
      <c r="D10" s="6" t="s">
        <v>22</v>
      </c>
    </row>
    <row r="11" customFormat="false" ht="15" hidden="false" customHeight="false" outlineLevel="0" collapsed="false">
      <c r="A11" s="4" t="s">
        <v>23</v>
      </c>
      <c r="B11" s="8" t="n">
        <v>1</v>
      </c>
      <c r="C11" s="4" t="s">
        <v>18</v>
      </c>
      <c r="D11" s="6" t="s">
        <v>24</v>
      </c>
    </row>
    <row r="12" customFormat="false" ht="15" hidden="false" customHeight="false" outlineLevel="0" collapsed="false">
      <c r="A12" s="4" t="s">
        <v>25</v>
      </c>
      <c r="B12" s="8" t="n">
        <v>2</v>
      </c>
      <c r="C12" s="4" t="s">
        <v>18</v>
      </c>
      <c r="D12" s="6" t="s">
        <v>26</v>
      </c>
    </row>
    <row r="13" customFormat="false" ht="15" hidden="false" customHeight="false" outlineLevel="0" collapsed="false">
      <c r="A13" s="4" t="s">
        <v>27</v>
      </c>
      <c r="B13" s="8" t="n">
        <v>5</v>
      </c>
      <c r="C13" s="4" t="s">
        <v>18</v>
      </c>
      <c r="D13" s="6" t="s">
        <v>28</v>
      </c>
    </row>
    <row r="14" customFormat="false" ht="15" hidden="false" customHeight="false" outlineLevel="0" collapsed="false">
      <c r="A14" s="4" t="s">
        <v>29</v>
      </c>
      <c r="B14" s="8" t="n">
        <v>2</v>
      </c>
      <c r="C14" s="4" t="s">
        <v>30</v>
      </c>
      <c r="D14" s="6" t="s">
        <v>31</v>
      </c>
    </row>
    <row r="15" customFormat="false" ht="15" hidden="false" customHeight="false" outlineLevel="0" collapsed="false">
      <c r="A15" s="4" t="s">
        <v>32</v>
      </c>
      <c r="B15" s="8" t="n">
        <v>3</v>
      </c>
      <c r="C15" s="4" t="s">
        <v>30</v>
      </c>
      <c r="D15" s="6" t="s">
        <v>33</v>
      </c>
    </row>
    <row r="16" customFormat="false" ht="15" hidden="false" customHeight="false" outlineLevel="0" collapsed="false">
      <c r="A16" s="4" t="s">
        <v>34</v>
      </c>
      <c r="B16" s="8" t="n">
        <v>5</v>
      </c>
      <c r="C16" s="4" t="s">
        <v>30</v>
      </c>
      <c r="D16" s="6" t="s">
        <v>35</v>
      </c>
    </row>
    <row r="17" customFormat="false" ht="22.35" hidden="false" customHeight="false" outlineLevel="0" collapsed="false">
      <c r="A17" s="4" t="s">
        <v>36</v>
      </c>
      <c r="B17" s="7" t="n">
        <v>0.45</v>
      </c>
      <c r="C17" s="4" t="s">
        <v>37</v>
      </c>
      <c r="D17" s="6" t="s">
        <v>38</v>
      </c>
    </row>
    <row r="18" customFormat="false" ht="22.35" hidden="false" customHeight="false" outlineLevel="0" collapsed="false">
      <c r="A18" s="4" t="s">
        <v>39</v>
      </c>
      <c r="B18" s="8" t="s">
        <v>40</v>
      </c>
      <c r="C18" s="4" t="s">
        <v>41</v>
      </c>
      <c r="D18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6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26.8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</row>
    <row r="5" customFormat="false" ht="22.35" hidden="false" customHeight="false" outlineLevel="0" collapsed="false">
      <c r="A5" s="4" t="s">
        <v>52</v>
      </c>
      <c r="B5" s="4" t="s">
        <v>53</v>
      </c>
      <c r="C5" s="8" t="n">
        <v>3</v>
      </c>
      <c r="D5" s="7" t="n">
        <v>18.42</v>
      </c>
      <c r="E5" s="10" t="n">
        <f aca="false">C5*D5</f>
        <v>55.26</v>
      </c>
      <c r="F5" s="4" t="s">
        <v>54</v>
      </c>
      <c r="G5" s="6" t="s">
        <v>55</v>
      </c>
    </row>
    <row r="6" customFormat="false" ht="15" hidden="false" customHeight="false" outlineLevel="0" collapsed="false">
      <c r="A6" s="4" t="s">
        <v>52</v>
      </c>
      <c r="B6" s="4" t="s">
        <v>56</v>
      </c>
      <c r="C6" s="8" t="n">
        <v>1</v>
      </c>
      <c r="D6" s="7" t="n">
        <v>6.8</v>
      </c>
      <c r="E6" s="10" t="n">
        <f aca="false">C6*D6</f>
        <v>6.8</v>
      </c>
      <c r="F6" s="4" t="s">
        <v>54</v>
      </c>
      <c r="G6" s="6" t="s">
        <v>57</v>
      </c>
    </row>
    <row r="7" customFormat="false" ht="22.35" hidden="false" customHeight="false" outlineLevel="0" collapsed="false">
      <c r="A7" s="4" t="s">
        <v>52</v>
      </c>
      <c r="B7" s="4" t="s">
        <v>58</v>
      </c>
      <c r="C7" s="8" t="n">
        <v>2</v>
      </c>
      <c r="D7" s="7" t="n">
        <v>2.52</v>
      </c>
      <c r="E7" s="10" t="n">
        <f aca="false">C7*D7</f>
        <v>5.04</v>
      </c>
      <c r="F7" s="4" t="s">
        <v>54</v>
      </c>
      <c r="G7" s="6" t="s">
        <v>59</v>
      </c>
    </row>
    <row r="8" customFormat="false" ht="15" hidden="false" customHeight="false" outlineLevel="0" collapsed="false">
      <c r="A8" s="4" t="s">
        <v>52</v>
      </c>
      <c r="B8" s="4" t="s">
        <v>60</v>
      </c>
      <c r="C8" s="8" t="n">
        <v>1</v>
      </c>
      <c r="D8" s="7" t="n">
        <v>3.6</v>
      </c>
      <c r="E8" s="10" t="n">
        <f aca="false">C8*D8</f>
        <v>3.6</v>
      </c>
      <c r="F8" s="4" t="s">
        <v>54</v>
      </c>
      <c r="G8" s="6" t="s">
        <v>61</v>
      </c>
    </row>
    <row r="9" customFormat="false" ht="15" hidden="false" customHeight="false" outlineLevel="0" collapsed="false">
      <c r="A9" s="4" t="s">
        <v>62</v>
      </c>
      <c r="B9" s="4" t="s">
        <v>63</v>
      </c>
      <c r="C9" s="8" t="n">
        <v>3</v>
      </c>
      <c r="D9" s="7" t="n">
        <v>10.97</v>
      </c>
      <c r="E9" s="10" t="n">
        <f aca="false">C9*D9</f>
        <v>32.91</v>
      </c>
      <c r="F9" s="4" t="s">
        <v>54</v>
      </c>
      <c r="G9" s="6" t="s">
        <v>64</v>
      </c>
    </row>
    <row r="10" customFormat="false" ht="15" hidden="false" customHeight="false" outlineLevel="0" collapsed="false">
      <c r="A10" s="4" t="s">
        <v>62</v>
      </c>
      <c r="B10" s="4" t="s">
        <v>65</v>
      </c>
      <c r="C10" s="8" t="n">
        <v>2</v>
      </c>
      <c r="D10" s="7" t="n">
        <v>5.55</v>
      </c>
      <c r="E10" s="10" t="n">
        <f aca="false">C10*D10</f>
        <v>11.1</v>
      </c>
      <c r="F10" s="4" t="s">
        <v>54</v>
      </c>
      <c r="G10" s="6"/>
    </row>
    <row r="11" customFormat="false" ht="15" hidden="false" customHeight="false" outlineLevel="0" collapsed="false">
      <c r="A11" s="4" t="s">
        <v>62</v>
      </c>
      <c r="B11" s="4" t="s">
        <v>66</v>
      </c>
      <c r="C11" s="8" t="n">
        <v>1</v>
      </c>
      <c r="D11" s="7" t="n">
        <v>11.46</v>
      </c>
      <c r="E11" s="10" t="n">
        <f aca="false">C11*D11</f>
        <v>11.46</v>
      </c>
      <c r="F11" s="4" t="s">
        <v>54</v>
      </c>
      <c r="G11" s="6"/>
    </row>
    <row r="12" customFormat="false" ht="15" hidden="false" customHeight="false" outlineLevel="0" collapsed="false">
      <c r="A12" s="4" t="s">
        <v>67</v>
      </c>
      <c r="B12" s="4" t="s">
        <v>68</v>
      </c>
      <c r="C12" s="8" t="n">
        <v>2</v>
      </c>
      <c r="D12" s="7" t="n">
        <v>5.4</v>
      </c>
      <c r="E12" s="10" t="n">
        <f aca="false">C12*D12</f>
        <v>10.8</v>
      </c>
      <c r="F12" s="4" t="s">
        <v>54</v>
      </c>
      <c r="G12" s="6"/>
    </row>
    <row r="13" customFormat="false" ht="15" hidden="false" customHeight="false" outlineLevel="0" collapsed="false">
      <c r="A13" s="4" t="s">
        <v>67</v>
      </c>
      <c r="B13" s="4" t="s">
        <v>69</v>
      </c>
      <c r="C13" s="8" t="n">
        <v>1</v>
      </c>
      <c r="D13" s="7" t="n">
        <v>11.21</v>
      </c>
      <c r="E13" s="10" t="n">
        <f aca="false">C13*D13</f>
        <v>11.21</v>
      </c>
      <c r="F13" s="4" t="s">
        <v>54</v>
      </c>
      <c r="G13" s="6"/>
    </row>
    <row r="14" customFormat="false" ht="15" hidden="false" customHeight="false" outlineLevel="0" collapsed="false">
      <c r="A14" s="4" t="s">
        <v>67</v>
      </c>
      <c r="B14" s="4" t="s">
        <v>70</v>
      </c>
      <c r="C14" s="8" t="n">
        <v>2</v>
      </c>
      <c r="D14" s="7" t="n">
        <v>3.38</v>
      </c>
      <c r="E14" s="10" t="n">
        <f aca="false">C14*D14</f>
        <v>6.76</v>
      </c>
      <c r="F14" s="4" t="s">
        <v>54</v>
      </c>
      <c r="G14" s="6"/>
    </row>
    <row r="15" customFormat="false" ht="15" hidden="false" customHeight="false" outlineLevel="0" collapsed="false">
      <c r="A15" s="4" t="s">
        <v>67</v>
      </c>
      <c r="B15" s="4" t="s">
        <v>71</v>
      </c>
      <c r="C15" s="8" t="n">
        <v>1</v>
      </c>
      <c r="D15" s="7" t="n">
        <v>4.93</v>
      </c>
      <c r="E15" s="10" t="n">
        <f aca="false">C15*D15</f>
        <v>4.93</v>
      </c>
      <c r="F15" s="4" t="s">
        <v>54</v>
      </c>
      <c r="G15" s="6"/>
    </row>
    <row r="16" customFormat="false" ht="15" hidden="false" customHeight="false" outlineLevel="0" collapsed="false">
      <c r="A16" s="4" t="s">
        <v>67</v>
      </c>
      <c r="B16" s="4" t="s">
        <v>72</v>
      </c>
      <c r="C16" s="8" t="n">
        <v>1</v>
      </c>
      <c r="D16" s="7" t="n">
        <v>6.47</v>
      </c>
      <c r="E16" s="10" t="n">
        <f aca="false">C16*D16</f>
        <v>6.47</v>
      </c>
      <c r="F16" s="4" t="s">
        <v>54</v>
      </c>
      <c r="G16" s="6"/>
    </row>
    <row r="17" customFormat="false" ht="15" hidden="false" customHeight="false" outlineLevel="0" collapsed="false">
      <c r="A17" s="4" t="s">
        <v>67</v>
      </c>
      <c r="B17" s="4" t="s">
        <v>73</v>
      </c>
      <c r="C17" s="8" t="n">
        <v>1</v>
      </c>
      <c r="D17" s="7" t="n">
        <v>11</v>
      </c>
      <c r="E17" s="10" t="n">
        <f aca="false">C17*D17</f>
        <v>11</v>
      </c>
      <c r="F17" s="4" t="s">
        <v>54</v>
      </c>
      <c r="G17" s="6" t="s">
        <v>74</v>
      </c>
    </row>
    <row r="18" customFormat="false" ht="15" hidden="false" customHeight="false" outlineLevel="0" collapsed="false">
      <c r="A18" s="4" t="s">
        <v>67</v>
      </c>
      <c r="B18" s="4" t="s">
        <v>75</v>
      </c>
      <c r="C18" s="8" t="n">
        <v>2</v>
      </c>
      <c r="D18" s="7" t="n">
        <v>3.8</v>
      </c>
      <c r="E18" s="10" t="n">
        <f aca="false">C18*D18</f>
        <v>7.6</v>
      </c>
      <c r="F18" s="4" t="s">
        <v>54</v>
      </c>
      <c r="G18" s="6"/>
    </row>
    <row r="19" customFormat="false" ht="22.35" hidden="false" customHeight="false" outlineLevel="0" collapsed="false">
      <c r="A19" s="4" t="s">
        <v>76</v>
      </c>
      <c r="B19" s="4" t="s">
        <v>77</v>
      </c>
      <c r="C19" s="8" t="n">
        <v>1</v>
      </c>
      <c r="D19" s="7" t="n">
        <v>120</v>
      </c>
      <c r="E19" s="10" t="n">
        <f aca="false">C19*D19</f>
        <v>120</v>
      </c>
      <c r="F19" s="4" t="s">
        <v>78</v>
      </c>
      <c r="G19" s="6" t="s">
        <v>79</v>
      </c>
    </row>
    <row r="20" customFormat="false" ht="15" hidden="false" customHeight="false" outlineLevel="0" collapsed="false">
      <c r="A20" s="4" t="s">
        <v>76</v>
      </c>
      <c r="B20" s="4" t="s">
        <v>80</v>
      </c>
      <c r="C20" s="8" t="n">
        <v>2</v>
      </c>
      <c r="D20" s="7" t="n">
        <v>15</v>
      </c>
      <c r="E20" s="10" t="n">
        <f aca="false">C20*D20</f>
        <v>30</v>
      </c>
      <c r="F20" s="4" t="s">
        <v>78</v>
      </c>
      <c r="G20" s="6" t="s">
        <v>81</v>
      </c>
    </row>
    <row r="21" customFormat="false" ht="22.35" hidden="false" customHeight="false" outlineLevel="0" collapsed="false">
      <c r="A21" s="4" t="s">
        <v>76</v>
      </c>
      <c r="B21" s="4" t="s">
        <v>82</v>
      </c>
      <c r="C21" s="8" t="n">
        <v>1</v>
      </c>
      <c r="D21" s="7" t="n">
        <v>25</v>
      </c>
      <c r="E21" s="10" t="n">
        <f aca="false">C21*D21</f>
        <v>25</v>
      </c>
      <c r="F21" s="4" t="s">
        <v>78</v>
      </c>
      <c r="G21" s="6" t="s">
        <v>83</v>
      </c>
    </row>
    <row r="22" customFormat="false" ht="15" hidden="false" customHeight="false" outlineLevel="0" collapsed="false">
      <c r="A22" s="4" t="s">
        <v>76</v>
      </c>
      <c r="B22" s="4" t="s">
        <v>84</v>
      </c>
      <c r="C22" s="8" t="n">
        <v>1</v>
      </c>
      <c r="D22" s="7" t="n">
        <v>60</v>
      </c>
      <c r="E22" s="10" t="n">
        <f aca="false">C22*D22</f>
        <v>60</v>
      </c>
      <c r="F22" s="4" t="s">
        <v>78</v>
      </c>
      <c r="G22" s="6"/>
    </row>
    <row r="23" customFormat="false" ht="22.35" hidden="false" customHeight="false" outlineLevel="0" collapsed="false">
      <c r="A23" s="4" t="s">
        <v>85</v>
      </c>
      <c r="B23" s="4" t="s">
        <v>86</v>
      </c>
      <c r="C23" s="8" t="n">
        <v>1</v>
      </c>
      <c r="D23" s="7" t="n">
        <v>150</v>
      </c>
      <c r="E23" s="10" t="n">
        <f aca="false">C23*D23</f>
        <v>150</v>
      </c>
      <c r="F23" s="4" t="s">
        <v>78</v>
      </c>
      <c r="G23" s="6" t="s">
        <v>87</v>
      </c>
    </row>
    <row r="24" customFormat="false" ht="15" hidden="false" customHeight="false" outlineLevel="0" collapsed="false">
      <c r="A24" s="4" t="s">
        <v>85</v>
      </c>
      <c r="B24" s="4" t="s">
        <v>88</v>
      </c>
      <c r="C24" s="8" t="n">
        <v>1</v>
      </c>
      <c r="D24" s="7" t="n">
        <v>300</v>
      </c>
      <c r="E24" s="10" t="n">
        <f aca="false">C24*D24</f>
        <v>300</v>
      </c>
      <c r="F24" s="4" t="s">
        <v>78</v>
      </c>
      <c r="G24" s="6" t="s">
        <v>89</v>
      </c>
    </row>
    <row r="25" customFormat="false" ht="15" hidden="false" customHeight="false" outlineLevel="0" collapsed="false">
      <c r="A25" s="4" t="s">
        <v>85</v>
      </c>
      <c r="B25" s="4" t="s">
        <v>90</v>
      </c>
      <c r="C25" s="8" t="n">
        <v>1</v>
      </c>
      <c r="D25" s="7" t="n">
        <v>600</v>
      </c>
      <c r="E25" s="10" t="n">
        <f aca="false">C25*D25</f>
        <v>600</v>
      </c>
      <c r="F25" s="4" t="s">
        <v>78</v>
      </c>
      <c r="G25" s="6" t="s">
        <v>91</v>
      </c>
    </row>
    <row r="26" customFormat="false" ht="15" hidden="false" customHeight="false" outlineLevel="0" collapsed="false">
      <c r="A26" s="4" t="s">
        <v>92</v>
      </c>
      <c r="B26" s="4" t="s">
        <v>93</v>
      </c>
      <c r="C26" s="8" t="n">
        <v>2</v>
      </c>
      <c r="D26" s="7" t="n">
        <v>45</v>
      </c>
      <c r="E26" s="10" t="n">
        <f aca="false">C26*D26</f>
        <v>90</v>
      </c>
      <c r="F26" s="4" t="s">
        <v>78</v>
      </c>
      <c r="G26" s="6" t="s">
        <v>94</v>
      </c>
    </row>
    <row r="27" customFormat="false" ht="15" hidden="false" customHeight="false" outlineLevel="0" collapsed="false">
      <c r="A27" s="4" t="s">
        <v>92</v>
      </c>
      <c r="B27" s="4" t="s">
        <v>95</v>
      </c>
      <c r="C27" s="8" t="n">
        <v>1</v>
      </c>
      <c r="D27" s="7" t="n">
        <v>120</v>
      </c>
      <c r="E27" s="10" t="n">
        <f aca="false">C27*D27</f>
        <v>120</v>
      </c>
      <c r="F27" s="4" t="s">
        <v>78</v>
      </c>
      <c r="G27" s="6" t="s">
        <v>96</v>
      </c>
    </row>
    <row r="28" customFormat="false" ht="15" hidden="false" customHeight="false" outlineLevel="0" collapsed="false">
      <c r="A28" s="4" t="s">
        <v>92</v>
      </c>
      <c r="B28" s="4" t="s">
        <v>97</v>
      </c>
      <c r="C28" s="8" t="n">
        <v>10</v>
      </c>
      <c r="D28" s="7" t="n">
        <v>4</v>
      </c>
      <c r="E28" s="10" t="n">
        <f aca="false">C28*D28</f>
        <v>40</v>
      </c>
      <c r="F28" s="4" t="s">
        <v>78</v>
      </c>
      <c r="G28" s="6" t="s">
        <v>98</v>
      </c>
    </row>
    <row r="29" customFormat="false" ht="15" hidden="false" customHeight="false" outlineLevel="0" collapsed="false">
      <c r="B29" s="11" t="s">
        <v>99</v>
      </c>
      <c r="E29" s="12" t="n">
        <f aca="false">SUM(E5:E28)</f>
        <v>1719.94</v>
      </c>
    </row>
    <row r="30" customFormat="false" ht="15" hidden="false" customHeight="false" outlineLevel="0" collapsed="false">
      <c r="B30" s="13" t="s">
        <v>100</v>
      </c>
      <c r="E30" s="14" t="n">
        <f aca="false">SUMIFS(E5:E28,F5:F28,"Temu screenshot")</f>
        <v>184.94</v>
      </c>
    </row>
    <row r="31" customFormat="false" ht="15" hidden="false" customHeight="false" outlineLevel="0" collapsed="false">
      <c r="B31" s="13" t="s">
        <v>101</v>
      </c>
      <c r="E31" s="14" t="n">
        <f aca="false">SUMIFS(E5:E28,F5:F28,"Estimate: get a quote")</f>
        <v>1535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15" hidden="false" customHeight="false" outlineLevel="0" collapsed="false">
      <c r="A4" s="3"/>
      <c r="B4" s="3" t="s">
        <v>104</v>
      </c>
      <c r="C4" s="3" t="s">
        <v>105</v>
      </c>
      <c r="D4" s="3" t="s">
        <v>106</v>
      </c>
    </row>
    <row r="5" customFormat="false" ht="15" hidden="false" customHeight="false" outlineLevel="0" collapsed="false">
      <c r="A5" s="4" t="s">
        <v>107</v>
      </c>
      <c r="B5" s="15" t="n">
        <v>15</v>
      </c>
      <c r="C5" s="15" t="n">
        <v>30</v>
      </c>
      <c r="D5" s="15" t="n">
        <v>60</v>
      </c>
    </row>
    <row r="6" customFormat="false" ht="15" hidden="false" customHeight="false" outlineLevel="0" collapsed="false">
      <c r="A6" s="4" t="s">
        <v>108</v>
      </c>
      <c r="B6" s="7" t="n">
        <v>550</v>
      </c>
      <c r="C6" s="7" t="n">
        <v>1000</v>
      </c>
      <c r="D6" s="7" t="n">
        <v>1800</v>
      </c>
    </row>
    <row r="7" customFormat="false" ht="15" hidden="false" customHeight="false" outlineLevel="0" collapsed="false">
      <c r="A7" s="4" t="s">
        <v>109</v>
      </c>
      <c r="B7" s="9" t="n">
        <f aca="false">B6*Assumptions!$B$5</f>
        <v>192.5</v>
      </c>
      <c r="C7" s="9" t="n">
        <f aca="false">C6*Assumptions!$B$5</f>
        <v>350</v>
      </c>
      <c r="D7" s="9" t="n">
        <f aca="false">D6*Assumptions!$B$5</f>
        <v>630</v>
      </c>
    </row>
    <row r="8" customFormat="false" ht="15" hidden="false" customHeight="false" outlineLevel="0" collapsed="false">
      <c r="A8" s="4" t="s">
        <v>110</v>
      </c>
      <c r="B8" s="16" t="n">
        <f aca="false">Assumptions!B14</f>
        <v>2</v>
      </c>
      <c r="C8" s="16" t="n">
        <f aca="false">Assumptions!B15</f>
        <v>3</v>
      </c>
      <c r="D8" s="16" t="n">
        <f aca="false">Assumptions!B16</f>
        <v>5</v>
      </c>
    </row>
    <row r="9" customFormat="false" ht="15" hidden="false" customHeight="false" outlineLevel="0" collapsed="false">
      <c r="A9" s="4" t="s">
        <v>111</v>
      </c>
      <c r="B9" s="9" t="n">
        <f aca="false">B8*Assumptions!$B$6</f>
        <v>70</v>
      </c>
      <c r="C9" s="9" t="n">
        <f aca="false">C8*Assumptions!$B$6</f>
        <v>105</v>
      </c>
      <c r="D9" s="9" t="n">
        <f aca="false">D8*Assumptions!$B$6</f>
        <v>175</v>
      </c>
    </row>
    <row r="10" customFormat="false" ht="15" hidden="false" customHeight="false" outlineLevel="0" collapsed="false">
      <c r="A10" s="4" t="s">
        <v>112</v>
      </c>
      <c r="B10" s="9" t="n">
        <f aca="false">Assumptions!B11*Assumptions!$B$10</f>
        <v>0.614</v>
      </c>
      <c r="C10" s="9" t="n">
        <f aca="false">Assumptions!B12*Assumptions!$B$10</f>
        <v>1.228</v>
      </c>
      <c r="D10" s="9" t="n">
        <f aca="false">Assumptions!B13*Assumptions!$B$10</f>
        <v>3.07</v>
      </c>
    </row>
    <row r="11" customFormat="false" ht="15" hidden="false" customHeight="false" outlineLevel="0" collapsed="false">
      <c r="A11" s="4" t="s">
        <v>113</v>
      </c>
      <c r="B11" s="9" t="n">
        <f aca="false">B5*Assumptions!$B$17</f>
        <v>6.75</v>
      </c>
      <c r="C11" s="9" t="n">
        <f aca="false">C5*Assumptions!$B$17</f>
        <v>13.5</v>
      </c>
      <c r="D11" s="9" t="n">
        <f aca="false">D5*Assumptions!$B$17</f>
        <v>27</v>
      </c>
    </row>
    <row r="12" customFormat="false" ht="15" hidden="false" customHeight="false" outlineLevel="0" collapsed="false">
      <c r="A12" s="4" t="s">
        <v>114</v>
      </c>
      <c r="B12" s="17" t="n">
        <f aca="false">Assumptions!$B$7</f>
        <v>30</v>
      </c>
      <c r="C12" s="17" t="n">
        <f aca="false">Assumptions!$B$7</f>
        <v>30</v>
      </c>
      <c r="D12" s="17" t="n">
        <f aca="false">Assumptions!$B$7</f>
        <v>30</v>
      </c>
    </row>
    <row r="13" customFormat="false" ht="15" hidden="false" customHeight="false" outlineLevel="0" collapsed="false">
      <c r="A13" s="18" t="s">
        <v>115</v>
      </c>
      <c r="B13" s="19" t="n">
        <f aca="false">SUM(B7,B9,B10,B11,B12)</f>
        <v>299.864</v>
      </c>
      <c r="C13" s="19" t="n">
        <f aca="false">SUM(C7,C9,C10,C11,C12)</f>
        <v>499.728</v>
      </c>
      <c r="D13" s="19" t="n">
        <f aca="false">SUM(D7,D9,D10,D11,D12)</f>
        <v>865.07</v>
      </c>
    </row>
    <row r="14" customFormat="false" ht="15" hidden="false" customHeight="false" outlineLevel="0" collapsed="false">
      <c r="A14" s="18" t="s">
        <v>116</v>
      </c>
      <c r="B14" s="19" t="n">
        <f aca="false">B6-B13</f>
        <v>250.136</v>
      </c>
      <c r="C14" s="19" t="n">
        <f aca="false">C6-C13</f>
        <v>500.272</v>
      </c>
      <c r="D14" s="19" t="n">
        <f aca="false">D6-D13</f>
        <v>934.93</v>
      </c>
    </row>
    <row r="15" customFormat="false" ht="15" hidden="false" customHeight="false" outlineLevel="0" collapsed="false">
      <c r="A15" s="4" t="s">
        <v>117</v>
      </c>
      <c r="B15" s="20" t="n">
        <f aca="false">IF(B6=0,0,B14/B6)</f>
        <v>0.454792727272727</v>
      </c>
      <c r="C15" s="20" t="n">
        <f aca="false">IF(C6=0,0,C14/C6)</f>
        <v>0.500272</v>
      </c>
      <c r="D15" s="20" t="n">
        <f aca="false">IF(D6=0,0,D14/D6)</f>
        <v>0.519405555555556</v>
      </c>
    </row>
    <row r="16" customFormat="false" ht="15" hidden="false" customHeight="false" outlineLevel="0" collapsed="false">
      <c r="A16" s="4" t="s">
        <v>118</v>
      </c>
      <c r="B16" s="9" t="n">
        <f aca="false">IF(B5=0,0,B6/B5)</f>
        <v>36.6666666666667</v>
      </c>
      <c r="C16" s="9" t="n">
        <f aca="false">IF(C5=0,0,C6/C5)</f>
        <v>33.3333333333333</v>
      </c>
      <c r="D16" s="9" t="n">
        <f aca="false">IF(D5=0,0,D6/D5)</f>
        <v>30</v>
      </c>
    </row>
    <row r="17" customFormat="false" ht="15" hidden="false" customHeight="false" outlineLevel="0" collapsed="false">
      <c r="A17" s="4" t="s">
        <v>119</v>
      </c>
      <c r="B17" s="9" t="n">
        <f aca="false">IF(B8=0,0,B14/B8)</f>
        <v>125.068</v>
      </c>
      <c r="C17" s="9" t="n">
        <f aca="false">IF(C8=0,0,C14/C8)</f>
        <v>166.757333333333</v>
      </c>
      <c r="D17" s="9" t="n">
        <f aca="false">IF(D8=0,0,D14/D8)</f>
        <v>186.986</v>
      </c>
    </row>
    <row r="19" customFormat="false" ht="30" hidden="false" customHeight="true" outlineLevel="0" collapsed="false">
      <c r="A19" s="21" t="s">
        <v>120</v>
      </c>
      <c r="B19" s="21"/>
      <c r="C19" s="21"/>
      <c r="D19" s="21"/>
    </row>
    <row r="20" customFormat="false" ht="15" hidden="false" customHeight="false" outlineLevel="0" collapsed="false">
      <c r="A20" s="21"/>
      <c r="B20" s="21"/>
      <c r="C20" s="21"/>
      <c r="D20" s="21"/>
    </row>
  </sheetData>
  <mergeCells count="1">
    <mergeCell ref="A19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26.85" hidden="false" customHeight="false" outlineLevel="0" collapsed="false">
      <c r="A4" s="3" t="s">
        <v>123</v>
      </c>
      <c r="B4" s="3" t="s">
        <v>124</v>
      </c>
      <c r="C4" s="3" t="s">
        <v>125</v>
      </c>
      <c r="D4" s="3" t="s">
        <v>116</v>
      </c>
      <c r="E4" s="3" t="s">
        <v>110</v>
      </c>
    </row>
    <row r="5" customFormat="false" ht="15" hidden="false" customHeight="false" outlineLevel="0" collapsed="false">
      <c r="A5" s="4" t="s">
        <v>104</v>
      </c>
      <c r="B5" s="15" t="n">
        <v>2</v>
      </c>
      <c r="C5" s="22" t="n">
        <f aca="false">B5*'Package Pricing'!B6</f>
        <v>1100</v>
      </c>
      <c r="D5" s="22" t="n">
        <f aca="false">B5*'Package Pricing'!B14</f>
        <v>500.272</v>
      </c>
      <c r="E5" s="16" t="n">
        <f aca="false">B5*'Package Pricing'!B8</f>
        <v>4</v>
      </c>
    </row>
    <row r="6" customFormat="false" ht="15" hidden="false" customHeight="false" outlineLevel="0" collapsed="false">
      <c r="A6" s="4" t="s">
        <v>105</v>
      </c>
      <c r="B6" s="15" t="n">
        <v>3</v>
      </c>
      <c r="C6" s="22" t="n">
        <f aca="false">B6*'Package Pricing'!C6</f>
        <v>3000</v>
      </c>
      <c r="D6" s="22" t="n">
        <f aca="false">B6*'Package Pricing'!C14</f>
        <v>1500.816</v>
      </c>
      <c r="E6" s="16" t="n">
        <f aca="false">B6*'Package Pricing'!C8</f>
        <v>9</v>
      </c>
    </row>
    <row r="7" customFormat="false" ht="15" hidden="false" customHeight="false" outlineLevel="0" collapsed="false">
      <c r="A7" s="4" t="s">
        <v>106</v>
      </c>
      <c r="B7" s="15" t="n">
        <v>1</v>
      </c>
      <c r="C7" s="22" t="n">
        <f aca="false">B7*'Package Pricing'!D6</f>
        <v>1800</v>
      </c>
      <c r="D7" s="22" t="n">
        <f aca="false">B7*'Package Pricing'!D14</f>
        <v>934.93</v>
      </c>
      <c r="E7" s="16" t="n">
        <f aca="false">B7*'Package Pricing'!D8</f>
        <v>5</v>
      </c>
    </row>
    <row r="8" customFormat="false" ht="15" hidden="false" customHeight="false" outlineLevel="0" collapsed="false">
      <c r="A8" s="23" t="s">
        <v>126</v>
      </c>
      <c r="B8" s="24" t="n">
        <f aca="false">SUM(B5:B7)</f>
        <v>6</v>
      </c>
      <c r="C8" s="25" t="n">
        <f aca="false">SUM(C5:C7)</f>
        <v>5900</v>
      </c>
      <c r="D8" s="25" t="n">
        <f aca="false">SUM(D5:D7)</f>
        <v>2936.018</v>
      </c>
      <c r="E8" s="24" t="n">
        <f aca="false">SUM(E5:E7)</f>
        <v>18</v>
      </c>
    </row>
    <row r="10" customFormat="false" ht="15" hidden="false" customHeight="false" outlineLevel="0" collapsed="false">
      <c r="A10" s="4" t="s">
        <v>99</v>
      </c>
      <c r="B10" s="22" t="n">
        <f aca="false">'Startup Shopping List'!E29</f>
        <v>1719.94</v>
      </c>
    </row>
    <row r="11" customFormat="false" ht="15" hidden="false" customHeight="false" outlineLevel="0" collapsed="false">
      <c r="A11" s="4" t="s">
        <v>127</v>
      </c>
      <c r="B11" s="26" t="n">
        <f aca="false">IF(D8&lt;=0,"n/a",B10/D8)</f>
        <v>0.585807035242972</v>
      </c>
    </row>
    <row r="12" customFormat="false" ht="15" hidden="false" customHeight="false" outlineLevel="0" collapsed="false">
      <c r="A12" s="4" t="s">
        <v>128</v>
      </c>
      <c r="B12" s="26" t="n">
        <f aca="false">IF(D8&lt;=0,"n/a",B10/(D8/B8))</f>
        <v>3.51484221145783</v>
      </c>
    </row>
    <row r="13" customFormat="false" ht="15" hidden="false" customHeight="false" outlineLevel="0" collapsed="false">
      <c r="A13" s="4" t="s">
        <v>129</v>
      </c>
      <c r="B13" s="27" t="n">
        <f aca="false">D8*12</f>
        <v>35232.216</v>
      </c>
    </row>
    <row r="14" customFormat="false" ht="15" hidden="false" customHeight="false" outlineLevel="0" collapsed="false">
      <c r="A14" s="4" t="s">
        <v>130</v>
      </c>
      <c r="B14" s="27" t="n">
        <f aca="false">C8*12</f>
        <v>70800</v>
      </c>
    </row>
    <row r="15" customFormat="false" ht="15" hidden="false" customHeight="false" outlineLevel="0" collapsed="false">
      <c r="A15" s="4" t="s">
        <v>131</v>
      </c>
      <c r="B15" s="10" t="n">
        <f aca="false">IF(E8=0,0,D8/E8)</f>
        <v>163.112111111111</v>
      </c>
    </row>
    <row r="17" customFormat="false" ht="30" hidden="false" customHeight="true" outlineLevel="0" collapsed="false">
      <c r="A17" s="21" t="s">
        <v>132</v>
      </c>
      <c r="B17" s="21"/>
      <c r="C17" s="21"/>
      <c r="D17" s="21"/>
      <c r="E17" s="21"/>
    </row>
    <row r="18" customFormat="false" ht="15" hidden="false" customHeight="false" outlineLevel="0" collapsed="false">
      <c r="A18" s="21"/>
      <c r="B18" s="21"/>
      <c r="C18" s="21"/>
      <c r="D18" s="21"/>
      <c r="E18" s="21"/>
    </row>
  </sheetData>
  <mergeCells count="1">
    <mergeCell ref="A17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2026-09-20T22:45:36Z</dcterms:created>
  <dc:creator>openpyxl</dc:creator>
  <dc:description/>
  <dc:language>en-US</dc:language>
  <cp:lastModifiedBy/>
  <dcterms:modified xsi:type="dcterms:W3CDTF">2026-09-20T22:45:36Z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